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mand_Log" sheetId="1" state="visible" r:id="rId1"/>
    <sheet xmlns:r="http://schemas.openxmlformats.org/officeDocument/2006/relationships" name="2_Smart_Prep" sheetId="2" state="visible" r:id="rId2"/>
    <sheet xmlns:r="http://schemas.openxmlformats.org/officeDocument/2006/relationships" name="3_Morning_Dashboard" sheetId="3" state="visible" r:id="rId3"/>
    <sheet xmlns:r="http://schemas.openxmlformats.org/officeDocument/2006/relationships" name="README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8A807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2421"/>
      <sz val="10"/>
    </font>
    <font>
      <name val="Calibri"/>
      <b val="1"/>
      <color rgb="002E8B57"/>
      <sz val="11"/>
    </font>
    <font>
      <name val="Calibri"/>
      <b val="1"/>
      <color rgb="001F3864"/>
      <sz val="10"/>
    </font>
    <font>
      <name val="Calibri"/>
      <color rgb="001F2421"/>
      <sz val="9"/>
    </font>
    <font>
      <name val="Calibri"/>
      <b val="1"/>
      <color rgb="00FFFFFF"/>
      <sz val="15"/>
    </font>
    <font>
      <name val="Calibri"/>
      <color rgb="008A8079"/>
      <sz val="10"/>
    </font>
    <font>
      <name val="Calibri"/>
      <b val="1"/>
      <color rgb="002E6CDF"/>
      <sz val="22"/>
    </font>
    <font>
      <name val="Calibri"/>
      <b val="1"/>
      <color rgb="002E8B57"/>
      <sz val="22"/>
    </font>
    <font>
      <name val="Calibri"/>
      <b val="1"/>
      <color rgb="00E8A33D"/>
      <sz val="22"/>
    </font>
    <font>
      <name val="Calibri"/>
      <b val="1"/>
      <color rgb="001F3864"/>
      <sz val="11"/>
    </font>
    <font>
      <name val="Calibri"/>
      <b val="1"/>
      <color rgb="002E8B57"/>
      <sz val="12"/>
    </font>
    <font>
      <name val="Calibri"/>
      <b val="1"/>
      <color rgb="001F3864"/>
      <sz val="14"/>
    </font>
    <font>
      <name val="Calibri"/>
      <color rgb="001F2421"/>
      <sz val="10"/>
    </font>
    <font>
      <name val="Calibri"/>
      <b val="1"/>
      <color rgb="00E8A33D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6CDF"/>
      </patternFill>
    </fill>
    <fill>
      <patternFill patternType="solid">
        <fgColor rgb="00FBE6CF"/>
      </patternFill>
    </fill>
    <fill>
      <patternFill patternType="solid">
        <fgColor rgb="00E3F2E9"/>
      </patternFill>
    </fill>
    <fill>
      <patternFill patternType="solid">
        <fgColor rgb="002E8B57"/>
      </patternFill>
    </fill>
    <fill>
      <patternFill patternType="solid">
        <fgColor rgb="00E8A33D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STEP 1 · DEMAND LOG  —  daily ready-to-eat sales (auto-filled by the POS)</t>
        </is>
      </c>
    </row>
    <row r="2">
      <c r="A2" s="2" t="inlineStr">
        <is>
          <t>Illustrative 28-day sample. The logic is the deliverable.</t>
        </is>
      </c>
    </row>
    <row r="3">
      <c r="A3" s="3" t="inlineStr">
        <is>
          <t>Day</t>
        </is>
      </c>
      <c r="B3" s="3" t="inlineStr">
        <is>
          <t>DOW</t>
        </is>
      </c>
      <c r="C3" s="3" t="inlineStr">
        <is>
          <t>Siomai (4pc)</t>
        </is>
      </c>
      <c r="D3" s="3" t="inlineStr">
        <is>
          <t>Hot coffee</t>
        </is>
      </c>
      <c r="E3" s="3" t="inlineStr">
        <is>
          <t>Rice meal</t>
        </is>
      </c>
      <c r="F3" s="3" t="inlineStr">
        <is>
          <t>Pandesal (pc)</t>
        </is>
      </c>
      <c r="G3" s="3" t="inlineStr">
        <is>
          <t>Lumpia (pc)</t>
        </is>
      </c>
    </row>
    <row r="4">
      <c r="A4" s="4" t="n">
        <v>1</v>
      </c>
      <c r="B4" s="4" t="inlineStr">
        <is>
          <t>Mon</t>
        </is>
      </c>
      <c r="C4" s="5" t="n">
        <v>20</v>
      </c>
      <c r="D4" s="5" t="n">
        <v>23</v>
      </c>
      <c r="E4" s="5" t="n">
        <v>8</v>
      </c>
      <c r="F4" s="5" t="n">
        <v>32</v>
      </c>
      <c r="G4" s="5" t="n">
        <v>14</v>
      </c>
    </row>
    <row r="5">
      <c r="A5" s="4" t="n">
        <v>2</v>
      </c>
      <c r="B5" s="4" t="inlineStr">
        <is>
          <t>Tue</t>
        </is>
      </c>
      <c r="C5" s="5" t="n">
        <v>19</v>
      </c>
      <c r="D5" s="5" t="n">
        <v>21</v>
      </c>
      <c r="E5" s="5" t="n">
        <v>7</v>
      </c>
      <c r="F5" s="5" t="n">
        <v>30</v>
      </c>
      <c r="G5" s="5" t="n">
        <v>13</v>
      </c>
    </row>
    <row r="6">
      <c r="A6" s="4" t="n">
        <v>3</v>
      </c>
      <c r="B6" s="4" t="inlineStr">
        <is>
          <t>Wed</t>
        </is>
      </c>
      <c r="C6" s="5" t="n">
        <v>18</v>
      </c>
      <c r="D6" s="5" t="n">
        <v>23</v>
      </c>
      <c r="E6" s="5" t="n">
        <v>7</v>
      </c>
      <c r="F6" s="5" t="n">
        <v>42</v>
      </c>
      <c r="G6" s="5" t="n">
        <v>12</v>
      </c>
    </row>
    <row r="7">
      <c r="A7" s="4" t="n">
        <v>4</v>
      </c>
      <c r="B7" s="4" t="inlineStr">
        <is>
          <t>Thu</t>
        </is>
      </c>
      <c r="C7" s="5" t="n">
        <v>20</v>
      </c>
      <c r="D7" s="5" t="n">
        <v>29</v>
      </c>
      <c r="E7" s="5" t="n">
        <v>9</v>
      </c>
      <c r="F7" s="5" t="n">
        <v>41</v>
      </c>
      <c r="G7" s="5" t="n">
        <v>14</v>
      </c>
    </row>
    <row r="8">
      <c r="A8" s="4" t="n">
        <v>5</v>
      </c>
      <c r="B8" s="6" t="inlineStr">
        <is>
          <t>Fri</t>
        </is>
      </c>
      <c r="C8" s="5" t="n">
        <v>30</v>
      </c>
      <c r="D8" s="5" t="n">
        <v>27</v>
      </c>
      <c r="E8" s="5" t="n">
        <v>10</v>
      </c>
      <c r="F8" s="5" t="n">
        <v>43</v>
      </c>
      <c r="G8" s="5" t="n">
        <v>15</v>
      </c>
    </row>
    <row r="9">
      <c r="A9" s="4" t="n">
        <v>6</v>
      </c>
      <c r="B9" s="6" t="inlineStr">
        <is>
          <t>Sat</t>
        </is>
      </c>
      <c r="C9" s="5" t="n">
        <v>24</v>
      </c>
      <c r="D9" s="5" t="n">
        <v>33</v>
      </c>
      <c r="E9" s="5" t="n">
        <v>11</v>
      </c>
      <c r="F9" s="5" t="n">
        <v>44</v>
      </c>
      <c r="G9" s="5" t="n">
        <v>19</v>
      </c>
    </row>
    <row r="10">
      <c r="A10" s="4" t="n">
        <v>7</v>
      </c>
      <c r="B10" s="4" t="inlineStr">
        <is>
          <t>Sun</t>
        </is>
      </c>
      <c r="C10" s="5" t="n">
        <v>20</v>
      </c>
      <c r="D10" s="5" t="n">
        <v>23</v>
      </c>
      <c r="E10" s="5" t="n">
        <v>7</v>
      </c>
      <c r="F10" s="5" t="n">
        <v>29</v>
      </c>
      <c r="G10" s="5" t="n">
        <v>11</v>
      </c>
    </row>
    <row r="11">
      <c r="A11" s="4" t="n">
        <v>8</v>
      </c>
      <c r="B11" s="4" t="inlineStr">
        <is>
          <t>Mon</t>
        </is>
      </c>
      <c r="C11" s="5" t="n">
        <v>19</v>
      </c>
      <c r="D11" s="5" t="n">
        <v>28</v>
      </c>
      <c r="E11" s="5" t="n">
        <v>7</v>
      </c>
      <c r="F11" s="5" t="n">
        <v>35</v>
      </c>
      <c r="G11" s="5" t="n">
        <v>15</v>
      </c>
    </row>
    <row r="12">
      <c r="A12" s="4" t="n">
        <v>9</v>
      </c>
      <c r="B12" s="4" t="inlineStr">
        <is>
          <t>Tue</t>
        </is>
      </c>
      <c r="C12" s="5" t="n">
        <v>19</v>
      </c>
      <c r="D12" s="5" t="n">
        <v>23</v>
      </c>
      <c r="E12" s="5" t="n">
        <v>8</v>
      </c>
      <c r="F12" s="5" t="n">
        <v>39</v>
      </c>
      <c r="G12" s="5" t="n">
        <v>12</v>
      </c>
    </row>
    <row r="13">
      <c r="A13" s="4" t="n">
        <v>10</v>
      </c>
      <c r="B13" s="4" t="inlineStr">
        <is>
          <t>Wed</t>
        </is>
      </c>
      <c r="C13" s="5" t="n">
        <v>21</v>
      </c>
      <c r="D13" s="5" t="n">
        <v>27</v>
      </c>
      <c r="E13" s="5" t="n">
        <v>9</v>
      </c>
      <c r="F13" s="5" t="n">
        <v>41</v>
      </c>
      <c r="G13" s="5" t="n">
        <v>13</v>
      </c>
    </row>
    <row r="14">
      <c r="A14" s="4" t="n">
        <v>11</v>
      </c>
      <c r="B14" s="4" t="inlineStr">
        <is>
          <t>Thu</t>
        </is>
      </c>
      <c r="C14" s="5" t="n">
        <v>26</v>
      </c>
      <c r="D14" s="5" t="n">
        <v>24</v>
      </c>
      <c r="E14" s="5" t="n">
        <v>8</v>
      </c>
      <c r="F14" s="5" t="n">
        <v>44</v>
      </c>
      <c r="G14" s="5" t="n">
        <v>13</v>
      </c>
    </row>
    <row r="15">
      <c r="A15" s="4" t="n">
        <v>12</v>
      </c>
      <c r="B15" s="6" t="inlineStr">
        <is>
          <t>Fri</t>
        </is>
      </c>
      <c r="C15" s="5" t="n">
        <v>25</v>
      </c>
      <c r="D15" s="5" t="n">
        <v>27</v>
      </c>
      <c r="E15" s="5" t="n">
        <v>10</v>
      </c>
      <c r="F15" s="5" t="n">
        <v>50</v>
      </c>
      <c r="G15" s="5" t="n">
        <v>18</v>
      </c>
    </row>
    <row r="16">
      <c r="A16" s="4" t="n">
        <v>13</v>
      </c>
      <c r="B16" s="6" t="inlineStr">
        <is>
          <t>Sat</t>
        </is>
      </c>
      <c r="C16" s="5" t="n">
        <v>31</v>
      </c>
      <c r="D16" s="5" t="n">
        <v>33</v>
      </c>
      <c r="E16" s="5" t="n">
        <v>11</v>
      </c>
      <c r="F16" s="5" t="n">
        <v>52</v>
      </c>
      <c r="G16" s="5" t="n">
        <v>19</v>
      </c>
    </row>
    <row r="17">
      <c r="A17" s="4" t="n">
        <v>14</v>
      </c>
      <c r="B17" s="4" t="inlineStr">
        <is>
          <t>Sun</t>
        </is>
      </c>
      <c r="C17" s="5" t="n">
        <v>18</v>
      </c>
      <c r="D17" s="5" t="n">
        <v>27</v>
      </c>
      <c r="E17" s="5" t="n">
        <v>8</v>
      </c>
      <c r="F17" s="5" t="n">
        <v>34</v>
      </c>
      <c r="G17" s="5" t="n">
        <v>14</v>
      </c>
    </row>
    <row r="18">
      <c r="A18" s="4" t="n">
        <v>15</v>
      </c>
      <c r="B18" s="4" t="inlineStr">
        <is>
          <t>Mon</t>
        </is>
      </c>
      <c r="C18" s="5" t="n">
        <v>18</v>
      </c>
      <c r="D18" s="5" t="n">
        <v>29</v>
      </c>
      <c r="E18" s="5" t="n">
        <v>8</v>
      </c>
      <c r="F18" s="5" t="n">
        <v>45</v>
      </c>
      <c r="G18" s="5" t="n">
        <v>16</v>
      </c>
    </row>
    <row r="19">
      <c r="A19" s="4" t="n">
        <v>16</v>
      </c>
      <c r="B19" s="4" t="inlineStr">
        <is>
          <t>Tue</t>
        </is>
      </c>
      <c r="C19" s="5" t="n">
        <v>18</v>
      </c>
      <c r="D19" s="5" t="n">
        <v>24</v>
      </c>
      <c r="E19" s="5" t="n">
        <v>8</v>
      </c>
      <c r="F19" s="5" t="n">
        <v>30</v>
      </c>
      <c r="G19" s="5" t="n">
        <v>13</v>
      </c>
    </row>
    <row r="20">
      <c r="A20" s="4" t="n">
        <v>17</v>
      </c>
      <c r="B20" s="4" t="inlineStr">
        <is>
          <t>Wed</t>
        </is>
      </c>
      <c r="C20" s="5" t="n">
        <v>18</v>
      </c>
      <c r="D20" s="5" t="n">
        <v>23</v>
      </c>
      <c r="E20" s="5" t="n">
        <v>6</v>
      </c>
      <c r="F20" s="5" t="n">
        <v>42</v>
      </c>
      <c r="G20" s="5" t="n">
        <v>12</v>
      </c>
    </row>
    <row r="21">
      <c r="A21" s="4" t="n">
        <v>18</v>
      </c>
      <c r="B21" s="4" t="inlineStr">
        <is>
          <t>Thu</t>
        </is>
      </c>
      <c r="C21" s="5" t="n">
        <v>20</v>
      </c>
      <c r="D21" s="5" t="n">
        <v>27</v>
      </c>
      <c r="E21" s="5" t="n">
        <v>9</v>
      </c>
      <c r="F21" s="5" t="n">
        <v>34</v>
      </c>
      <c r="G21" s="5" t="n">
        <v>15</v>
      </c>
    </row>
    <row r="22">
      <c r="A22" s="4" t="n">
        <v>19</v>
      </c>
      <c r="B22" s="6" t="inlineStr">
        <is>
          <t>Fri</t>
        </is>
      </c>
      <c r="C22" s="5" t="n">
        <v>26</v>
      </c>
      <c r="D22" s="5" t="n">
        <v>37</v>
      </c>
      <c r="E22" s="5" t="n">
        <v>10</v>
      </c>
      <c r="F22" s="5" t="n">
        <v>52</v>
      </c>
      <c r="G22" s="5" t="n">
        <v>16</v>
      </c>
    </row>
    <row r="23">
      <c r="A23" s="4" t="n">
        <v>20</v>
      </c>
      <c r="B23" s="6" t="inlineStr">
        <is>
          <t>Sat</t>
        </is>
      </c>
      <c r="C23" s="5" t="n">
        <v>27</v>
      </c>
      <c r="D23" s="5" t="n">
        <v>33</v>
      </c>
      <c r="E23" s="5" t="n">
        <v>11</v>
      </c>
      <c r="F23" s="5" t="n">
        <v>58</v>
      </c>
      <c r="G23" s="5" t="n">
        <v>16</v>
      </c>
    </row>
    <row r="24">
      <c r="A24" s="4" t="n">
        <v>21</v>
      </c>
      <c r="B24" s="4" t="inlineStr">
        <is>
          <t>Sun</t>
        </is>
      </c>
      <c r="C24" s="5" t="n">
        <v>17</v>
      </c>
      <c r="D24" s="5" t="n">
        <v>22</v>
      </c>
      <c r="E24" s="5" t="n">
        <v>6</v>
      </c>
      <c r="F24" s="5" t="n">
        <v>34</v>
      </c>
      <c r="G24" s="5" t="n">
        <v>13</v>
      </c>
    </row>
    <row r="25">
      <c r="A25" s="4" t="n">
        <v>22</v>
      </c>
      <c r="B25" s="4" t="inlineStr">
        <is>
          <t>Mon</t>
        </is>
      </c>
      <c r="C25" s="5" t="n">
        <v>19</v>
      </c>
      <c r="D25" s="5" t="n">
        <v>22</v>
      </c>
      <c r="E25" s="5" t="n">
        <v>7</v>
      </c>
      <c r="F25" s="5" t="n">
        <v>36</v>
      </c>
      <c r="G25" s="5" t="n">
        <v>15</v>
      </c>
    </row>
    <row r="26">
      <c r="A26" s="4" t="n">
        <v>23</v>
      </c>
      <c r="B26" s="4" t="inlineStr">
        <is>
          <t>Tue</t>
        </is>
      </c>
      <c r="C26" s="5" t="n">
        <v>23</v>
      </c>
      <c r="D26" s="5" t="n">
        <v>27</v>
      </c>
      <c r="E26" s="5" t="n">
        <v>7</v>
      </c>
      <c r="F26" s="5" t="n">
        <v>38</v>
      </c>
      <c r="G26" s="5" t="n">
        <v>14</v>
      </c>
    </row>
    <row r="27">
      <c r="A27" s="4" t="n">
        <v>24</v>
      </c>
      <c r="B27" s="4" t="inlineStr">
        <is>
          <t>Wed</t>
        </is>
      </c>
      <c r="C27" s="5" t="n">
        <v>18</v>
      </c>
      <c r="D27" s="5" t="n">
        <v>30</v>
      </c>
      <c r="E27" s="5" t="n">
        <v>8</v>
      </c>
      <c r="F27" s="5" t="n">
        <v>43</v>
      </c>
      <c r="G27" s="5" t="n">
        <v>16</v>
      </c>
    </row>
    <row r="28">
      <c r="A28" s="4" t="n">
        <v>25</v>
      </c>
      <c r="B28" s="4" t="inlineStr">
        <is>
          <t>Thu</t>
        </is>
      </c>
      <c r="C28" s="5" t="n">
        <v>21</v>
      </c>
      <c r="D28" s="5" t="n">
        <v>27</v>
      </c>
      <c r="E28" s="5" t="n">
        <v>7</v>
      </c>
      <c r="F28" s="5" t="n">
        <v>42</v>
      </c>
      <c r="G28" s="5" t="n">
        <v>13</v>
      </c>
    </row>
    <row r="29">
      <c r="A29" s="4" t="n">
        <v>26</v>
      </c>
      <c r="B29" s="6" t="inlineStr">
        <is>
          <t>Fri</t>
        </is>
      </c>
      <c r="C29" s="5" t="n">
        <v>21</v>
      </c>
      <c r="D29" s="5" t="n">
        <v>29</v>
      </c>
      <c r="E29" s="5" t="n">
        <v>8</v>
      </c>
      <c r="F29" s="5" t="n">
        <v>43</v>
      </c>
      <c r="G29" s="5" t="n">
        <v>14</v>
      </c>
    </row>
    <row r="30">
      <c r="A30" s="4" t="n">
        <v>27</v>
      </c>
      <c r="B30" s="6" t="inlineStr">
        <is>
          <t>Sat</t>
        </is>
      </c>
      <c r="C30" s="5" t="n">
        <v>23</v>
      </c>
      <c r="D30" s="5" t="n">
        <v>31</v>
      </c>
      <c r="E30" s="5" t="n">
        <v>9</v>
      </c>
      <c r="F30" s="5" t="n">
        <v>48</v>
      </c>
      <c r="G30" s="5" t="n">
        <v>16</v>
      </c>
    </row>
    <row r="31">
      <c r="A31" s="4" t="n">
        <v>28</v>
      </c>
      <c r="B31" s="4" t="inlineStr">
        <is>
          <t>Sun</t>
        </is>
      </c>
      <c r="C31" s="5" t="n">
        <v>21</v>
      </c>
      <c r="D31" s="5" t="n">
        <v>25</v>
      </c>
      <c r="E31" s="5" t="n">
        <v>6</v>
      </c>
      <c r="F31" s="5" t="n">
        <v>31</v>
      </c>
      <c r="G31" s="5" t="n">
        <v>12</v>
      </c>
    </row>
  </sheetData>
  <mergeCells count="2">
    <mergeCell ref="A2:G2"/>
    <mergeCell ref="A1:G1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7" customWidth="1" min="4" max="4"/>
    <col width="7" customWidth="1" min="5" max="5"/>
    <col width="8" customWidth="1" min="6" max="6"/>
    <col width="6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STEP 2 · SMART-PREP  —  forecast the day, then prep the profit-optimal amount</t>
        </is>
      </c>
    </row>
    <row r="2">
      <c r="A2" s="2" t="inlineStr">
        <is>
          <t>Forecast = avg/day × the day's pattern.  PREP = newsvendor optimum: balances cost of spoiling one unit (Co) vs missing one sale (Cu).  Tomorrow = Sat</t>
        </is>
      </c>
    </row>
    <row r="3" ht="30" customHeight="1">
      <c r="A3" s="7" t="inlineStr">
        <is>
          <t>SKU</t>
        </is>
      </c>
      <c r="B3" s="7" t="inlineStr">
        <is>
          <t>Price</t>
        </is>
      </c>
      <c r="C3" s="7" t="inlineStr">
        <is>
          <t>Cost</t>
        </is>
      </c>
      <c r="D3" s="7" t="inlineStr">
        <is>
          <t>Margin
Cu</t>
        </is>
      </c>
      <c r="E3" s="7" t="inlineStr">
        <is>
          <t>Spoil
Co</t>
        </is>
      </c>
      <c r="F3" s="7" t="inlineStr">
        <is>
          <t>Critical
ratio</t>
        </is>
      </c>
      <c r="G3" s="7" t="inlineStr">
        <is>
          <t>z</t>
        </is>
      </c>
      <c r="H3" s="7" t="inlineStr">
        <is>
          <t>Avg/
day</t>
        </is>
      </c>
      <c r="I3" s="7" t="inlineStr">
        <is>
          <t>Swing
σ</t>
        </is>
      </c>
      <c r="J3" s="7" t="inlineStr">
        <is>
          <t>Sat
index</t>
        </is>
      </c>
      <c r="K3" s="7" t="inlineStr">
        <is>
          <t>Forecast</t>
        </is>
      </c>
      <c r="L3" s="7" t="inlineStr">
        <is>
          <t>PREP
today</t>
        </is>
      </c>
      <c r="M3" s="7" t="inlineStr">
        <is>
          <t>Gut-feel</t>
        </is>
      </c>
    </row>
    <row r="4">
      <c r="A4" s="8" t="inlineStr">
        <is>
          <t>Siomai (4pc)</t>
        </is>
      </c>
      <c r="B4" s="4" t="n">
        <v>45</v>
      </c>
      <c r="C4" s="4" t="n">
        <v>22</v>
      </c>
      <c r="D4" s="4">
        <f>B4-C4</f>
        <v/>
      </c>
      <c r="E4" s="4">
        <f>C4</f>
        <v/>
      </c>
      <c r="F4" s="9">
        <f>D4/(D4+E4)</f>
        <v/>
      </c>
      <c r="G4" s="9">
        <f>NORM.S.INV(F4)</f>
        <v/>
      </c>
      <c r="H4" s="10" t="n">
        <v>21.4</v>
      </c>
      <c r="I4" s="10" t="n">
        <v>3.7</v>
      </c>
      <c r="J4" s="9" t="n">
        <v>1.23</v>
      </c>
      <c r="K4" s="10">
        <f>H4*J4</f>
        <v/>
      </c>
      <c r="L4" s="11">
        <f>MAX(0,ROUND(K4+G4*I4,0))</f>
        <v/>
      </c>
      <c r="M4" s="4" t="n">
        <v>27</v>
      </c>
    </row>
    <row r="5">
      <c r="A5" s="8" t="inlineStr">
        <is>
          <t>Hot coffee</t>
        </is>
      </c>
      <c r="B5" s="4" t="n">
        <v>30</v>
      </c>
      <c r="C5" s="4" t="n">
        <v>12</v>
      </c>
      <c r="D5" s="4">
        <f>B5-C5</f>
        <v/>
      </c>
      <c r="E5" s="4">
        <f>C5</f>
        <v/>
      </c>
      <c r="F5" s="9">
        <f>D5/(D5+E5)</f>
        <v/>
      </c>
      <c r="G5" s="9">
        <f>NORM.S.INV(F5)</f>
        <v/>
      </c>
      <c r="H5" s="10" t="n">
        <v>26.9</v>
      </c>
      <c r="I5" s="10" t="n">
        <v>3.9</v>
      </c>
      <c r="J5" s="9" t="n">
        <v>1.21</v>
      </c>
      <c r="K5" s="10">
        <f>H5*J5</f>
        <v/>
      </c>
      <c r="L5" s="11">
        <f>MAX(0,ROUND(K5+G5*I5,0))</f>
        <v/>
      </c>
      <c r="M5" s="4" t="n">
        <v>34</v>
      </c>
    </row>
    <row r="6">
      <c r="A6" s="8" t="inlineStr">
        <is>
          <t>Rice meal</t>
        </is>
      </c>
      <c r="B6" s="4" t="n">
        <v>65</v>
      </c>
      <c r="C6" s="4" t="n">
        <v>35</v>
      </c>
      <c r="D6" s="4">
        <f>B6-C6</f>
        <v/>
      </c>
      <c r="E6" s="4">
        <f>C6</f>
        <v/>
      </c>
      <c r="F6" s="9">
        <f>D6/(D6+E6)</f>
        <v/>
      </c>
      <c r="G6" s="9">
        <f>NORM.S.INV(F6)</f>
        <v/>
      </c>
      <c r="H6" s="10" t="n">
        <v>8.199999999999999</v>
      </c>
      <c r="I6" s="10" t="n">
        <v>1.5</v>
      </c>
      <c r="J6" s="9" t="n">
        <v>1.28</v>
      </c>
      <c r="K6" s="10">
        <f>H6*J6</f>
        <v/>
      </c>
      <c r="L6" s="11">
        <f>MAX(0,ROUND(K6+G6*I6,0))</f>
        <v/>
      </c>
      <c r="M6" s="4" t="n">
        <v>10</v>
      </c>
    </row>
    <row r="7">
      <c r="A7" s="8" t="inlineStr">
        <is>
          <t>Pandesal (pc)</t>
        </is>
      </c>
      <c r="B7" s="4" t="n">
        <v>4</v>
      </c>
      <c r="C7" s="4" t="n">
        <v>2.4</v>
      </c>
      <c r="D7" s="4">
        <f>B7-C7</f>
        <v/>
      </c>
      <c r="E7" s="4">
        <f>C7</f>
        <v/>
      </c>
      <c r="F7" s="9">
        <f>D7/(D7+E7)</f>
        <v/>
      </c>
      <c r="G7" s="9">
        <f>NORM.S.INV(F7)</f>
        <v/>
      </c>
      <c r="H7" s="10" t="n">
        <v>40.4</v>
      </c>
      <c r="I7" s="10" t="n">
        <v>7.3</v>
      </c>
      <c r="J7" s="9" t="n">
        <v>1.25</v>
      </c>
      <c r="K7" s="10">
        <f>H7*J7</f>
        <v/>
      </c>
      <c r="L7" s="11">
        <f>MAX(0,ROUND(K7+G7*I7,0))</f>
        <v/>
      </c>
      <c r="M7" s="4" t="n">
        <v>51</v>
      </c>
    </row>
    <row r="8">
      <c r="A8" s="8" t="inlineStr">
        <is>
          <t>Lumpia (pc)</t>
        </is>
      </c>
      <c r="B8" s="4" t="n">
        <v>15</v>
      </c>
      <c r="C8" s="4" t="n">
        <v>8</v>
      </c>
      <c r="D8" s="4">
        <f>B8-C8</f>
        <v/>
      </c>
      <c r="E8" s="4">
        <f>C8</f>
        <v/>
      </c>
      <c r="F8" s="9">
        <f>D8/(D8+E8)</f>
        <v/>
      </c>
      <c r="G8" s="9">
        <f>NORM.S.INV(F8)</f>
        <v/>
      </c>
      <c r="H8" s="10" t="n">
        <v>14.4</v>
      </c>
      <c r="I8" s="10" t="n">
        <v>2</v>
      </c>
      <c r="J8" s="9" t="n">
        <v>1.22</v>
      </c>
      <c r="K8" s="10">
        <f>H8*J8</f>
        <v/>
      </c>
      <c r="L8" s="11">
        <f>MAX(0,ROUND(K8+G8*I8,0))</f>
        <v/>
      </c>
      <c r="M8" s="4" t="n">
        <v>18</v>
      </c>
    </row>
    <row r="11">
      <c r="A11" s="12" t="inlineStr">
        <is>
          <t>How to read it:</t>
        </is>
      </c>
    </row>
    <row r="12">
      <c r="A12" s="13" t="inlineStr">
        <is>
          <t>• High-margin items (coffee) → prep MORE: missing a sale costs more than spoiling one.</t>
        </is>
      </c>
    </row>
    <row r="13">
      <c r="A13" s="13" t="inlineStr">
        <is>
          <t>• Cheap items (pandesal) → prep LESS: costly to waste relative to its margin.</t>
        </is>
      </c>
    </row>
    <row r="14">
      <c r="A14" s="13" t="inlineStr">
        <is>
          <t>• Change a price/cost and PREP updates live — NORM.S.INV(Cu/(Cu+Co)) is the newsvendor optimum.</t>
        </is>
      </c>
    </row>
  </sheetData>
  <mergeCells count="5">
    <mergeCell ref="A13:M13"/>
    <mergeCell ref="A14:M14"/>
    <mergeCell ref="A1:M1"/>
    <mergeCell ref="A12:M12"/>
    <mergeCell ref="A2:M2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22" customWidth="1" min="4" max="4"/>
    <col width="11" customWidth="1" min="5" max="5"/>
  </cols>
  <sheetData>
    <row r="1">
      <c r="A1" s="14" t="inlineStr">
        <is>
          <t>SUKIMART · MORNING PREP DASHBOARD</t>
        </is>
      </c>
    </row>
    <row r="2">
      <c r="A2" s="15" t="inlineStr">
        <is>
          <t>Tomorrow is Sat (busy). Prepare this much — and no more.</t>
        </is>
      </c>
    </row>
    <row r="4">
      <c r="A4" s="3" t="inlineStr">
        <is>
          <t>Items to prep</t>
        </is>
      </c>
      <c r="B4" s="16" t="n"/>
      <c r="C4" s="17" t="inlineStr">
        <is>
          <t>₱ saved / month</t>
        </is>
      </c>
      <c r="D4" s="16" t="n"/>
      <c r="E4" s="18" t="inlineStr">
        <is>
          <t>Spoilage cut</t>
        </is>
      </c>
      <c r="F4" s="16" t="n"/>
    </row>
    <row r="5">
      <c r="A5" s="19" t="inlineStr">
        <is>
          <t>5</t>
        </is>
      </c>
      <c r="B5" s="16" t="n"/>
      <c r="C5" s="20" t="inlineStr">
        <is>
          <t>1,983</t>
        </is>
      </c>
      <c r="D5" s="16" t="n"/>
      <c r="E5" s="21" t="inlineStr">
        <is>
          <t>16%→9%</t>
        </is>
      </c>
      <c r="F5" s="16" t="n"/>
    </row>
    <row r="6">
      <c r="A6" s="16" t="n"/>
      <c r="B6" s="16" t="n"/>
      <c r="C6" s="16" t="n"/>
      <c r="D6" s="16" t="n"/>
      <c r="E6" s="16" t="n"/>
      <c r="F6" s="16" t="n"/>
    </row>
    <row r="8">
      <c r="A8" s="22" t="inlineStr">
        <is>
          <t>TODAY'S PREP LIST  (the system recommends — Tina decides)</t>
        </is>
      </c>
    </row>
    <row r="9">
      <c r="A9" s="3" t="inlineStr">
        <is>
          <t>Item</t>
        </is>
      </c>
      <c r="B9" s="3" t="inlineStr">
        <is>
          <t>Prepare</t>
        </is>
      </c>
      <c r="C9" s="3" t="inlineStr">
        <is>
          <t>Forecast</t>
        </is>
      </c>
      <c r="D9" s="3" t="inlineStr">
        <is>
          <t>Why</t>
        </is>
      </c>
      <c r="E9" s="3" t="inlineStr">
        <is>
          <t>₱ saved/day</t>
        </is>
      </c>
    </row>
    <row r="10">
      <c r="A10" s="8" t="inlineStr">
        <is>
          <t>Siomai (4pc)</t>
        </is>
      </c>
      <c r="B10" s="23" t="n">
        <v>26</v>
      </c>
      <c r="C10" s="4" t="n">
        <v>26</v>
      </c>
      <c r="D10" s="24" t="inlineStr">
        <is>
          <t>match demand</t>
        </is>
      </c>
      <c r="E10" s="4" t="inlineStr">
        <is>
          <t>24</t>
        </is>
      </c>
    </row>
    <row r="11">
      <c r="A11" s="8" t="inlineStr">
        <is>
          <t>Hot coffee</t>
        </is>
      </c>
      <c r="B11" s="23" t="n">
        <v>33</v>
      </c>
      <c r="C11" s="4" t="n">
        <v>32</v>
      </c>
      <c r="D11" s="24" t="inlineStr">
        <is>
          <t>prep MORE — high margin</t>
        </is>
      </c>
      <c r="E11" s="4" t="inlineStr">
        <is>
          <t>20</t>
        </is>
      </c>
    </row>
    <row r="12">
      <c r="A12" s="8" t="inlineStr">
        <is>
          <t>Rice meal</t>
        </is>
      </c>
      <c r="B12" s="23" t="n">
        <v>10</v>
      </c>
      <c r="C12" s="4" t="n">
        <v>10</v>
      </c>
      <c r="D12" s="24" t="inlineStr">
        <is>
          <t>prep LESS — spoils cheap</t>
        </is>
      </c>
      <c r="E12" s="4" t="inlineStr">
        <is>
          <t>13</t>
        </is>
      </c>
    </row>
    <row r="13">
      <c r="A13" s="8" t="inlineStr">
        <is>
          <t>Pandesal (pc)</t>
        </is>
      </c>
      <c r="B13" s="23" t="n">
        <v>49</v>
      </c>
      <c r="C13" s="4" t="n">
        <v>50</v>
      </c>
      <c r="D13" s="24" t="inlineStr">
        <is>
          <t>prep LESS — spoils cheap</t>
        </is>
      </c>
      <c r="E13" s="4" t="inlineStr">
        <is>
          <t>4</t>
        </is>
      </c>
    </row>
    <row r="14">
      <c r="A14" s="8" t="inlineStr">
        <is>
          <t>Lumpia (pc)</t>
        </is>
      </c>
      <c r="B14" s="23" t="n">
        <v>17</v>
      </c>
      <c r="C14" s="4" t="n">
        <v>18</v>
      </c>
      <c r="D14" s="24" t="inlineStr">
        <is>
          <t>prep LESS — spoils cheap</t>
        </is>
      </c>
      <c r="E14" s="4" t="inlineStr">
        <is>
          <t>5</t>
        </is>
      </c>
    </row>
    <row r="16">
      <c r="A16" s="22" t="inlineStr">
        <is>
          <t>"Cook to the forecast, not to a guess."</t>
        </is>
      </c>
    </row>
  </sheetData>
  <mergeCells count="8">
    <mergeCell ref="A4:B4"/>
    <mergeCell ref="A2:F2"/>
    <mergeCell ref="E4:F4"/>
    <mergeCell ref="A1:F1"/>
    <mergeCell ref="C5:D6"/>
    <mergeCell ref="A5:B6"/>
    <mergeCell ref="E5:F6"/>
    <mergeCell ref="C4:D4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0"/>
  <sheetViews>
    <sheetView showGridLines="0"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25" t="inlineStr">
        <is>
          <t>SukiMart Smart-Prep — method &amp; numbers</t>
        </is>
      </c>
    </row>
    <row r="2">
      <c r="A2" s="26" t="inlineStr">
        <is>
          <t>A POS module for ready-to-eat. Two standard, explainable steps:</t>
        </is>
      </c>
    </row>
    <row r="3">
      <c r="A3" s="27" t="inlineStr"/>
    </row>
    <row r="4">
      <c r="A4" s="27" t="inlineStr">
        <is>
          <t>1) FORECAST — avg daily sales × that day's learned pattern (weekends/paydays sell more).</t>
        </is>
      </c>
    </row>
    <row r="5">
      <c r="A5" s="27" t="inlineStr">
        <is>
          <t>2) OPTIMIZE (newsvendor model) — the textbook method for perishables. Prepare where the cost of</t>
        </is>
      </c>
    </row>
    <row r="6">
      <c r="A6" s="27" t="inlineStr">
        <is>
          <t xml:space="preserve">   spoiling one more unit (Co=cost) equals the cost of missing one more sale (Cu=margin).</t>
        </is>
      </c>
    </row>
    <row r="7">
      <c r="A7" s="27" t="inlineStr">
        <is>
          <t xml:space="preserve">   PREP = forecast + z×swing,  z = NORM.S.INV(Cu/(Cu+Co)).  Prep MORE of high-margin coffee,</t>
        </is>
      </c>
    </row>
    <row r="8">
      <c r="A8" s="26" t="inlineStr">
        <is>
          <t xml:space="preserve">   LESS of cheap-to-waste pandesal. A different, profit-maximizing decision per item.</t>
        </is>
      </c>
    </row>
    <row r="9">
      <c r="A9" s="27" t="inlineStr"/>
    </row>
    <row r="10">
      <c r="A10" s="28" t="inlineStr">
        <is>
          <t>WHY IT IS NOT 'just an average': it pairs a day-of-week forecast with cost-based optimization,</t>
        </is>
      </c>
    </row>
    <row r="11">
      <c r="A11" s="27" t="inlineStr">
        <is>
          <t xml:space="preserve">   and improves as more sales data arrives.</t>
        </is>
      </c>
    </row>
    <row r="12">
      <c r="A12" s="27" t="inlineStr"/>
    </row>
    <row r="13">
      <c r="A13" s="29" t="inlineStr">
        <is>
          <t>THE NUMBERS (anchored to the case's own 8-15% spoilage range):</t>
        </is>
      </c>
    </row>
    <row r="14">
      <c r="A14" s="27" t="inlineStr">
        <is>
          <t xml:space="preserve">   Perishable revenue ~PHP 80,510/mo. At ~16% spoilage that's ~PHP 12,882/mo wasted.</t>
        </is>
      </c>
    </row>
    <row r="15">
      <c r="A15" s="30" t="inlineStr">
        <is>
          <t xml:space="preserve">   Cutting it to ~9% saves ~PHP 1,983/mo = ~PHP 23,797/yr (staged); ~PHP 46,690/yr at full SukiMart.</t>
        </is>
      </c>
    </row>
    <row r="16">
      <c r="A16" s="27" t="inlineStr">
        <is>
          <t xml:space="preserve">   Cost: ~PHP 3,000/mo POS module (in the operating plan). Payback under one month.</t>
        </is>
      </c>
    </row>
    <row r="17">
      <c r="A17" s="27" t="inlineStr"/>
    </row>
    <row r="18">
      <c r="A18" s="31" t="inlineStr">
        <is>
          <t>HONESTY / AI DISCLOSURE: daily sales are illustrative; the logic is the deliverable. Method =</t>
        </is>
      </c>
    </row>
    <row r="19">
      <c r="A19" s="27" t="inlineStr">
        <is>
          <t xml:space="preserve">   demand forecasting + newsvendor (operations research). AI assisted analysis &amp; this build; the</t>
        </is>
      </c>
    </row>
    <row r="20">
      <c r="A20" s="27" t="inlineStr">
        <is>
          <t xml:space="preserve">   founder always approves the final prep amount.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2026-06-26T08:25:39Z</dcterms:created>
  <dcterms:modified xmlns:dcterms="http://purl.org/dc/terms/" xmlns:xsi="http://www.w3.org/2001/XMLSchema-instance" xsi:type="dcterms:W3CDTF">2026-06-26T08:25:39Z</dcterms:modified>
</cp:coreProperties>
</file>