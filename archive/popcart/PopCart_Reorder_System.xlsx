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ales" sheetId="1" state="visible" r:id="rId1"/>
    <sheet xmlns:r="http://schemas.openxmlformats.org/officeDocument/2006/relationships" name="Control_Panel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808080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FFFFFF"/>
      <sz val="9"/>
    </font>
    <font>
      <name val="Calibri"/>
      <b val="1"/>
      <color rgb="001F3864"/>
      <sz val="10"/>
    </font>
    <font>
      <name val="Calibri"/>
      <color rgb="00000000"/>
      <sz val="9"/>
    </font>
    <font>
      <name val="Calibri"/>
      <b val="1"/>
      <color rgb="00FFFFFF"/>
      <sz val="15"/>
    </font>
    <font>
      <name val="Calibri"/>
      <b val="1"/>
      <color rgb="001F3864"/>
      <sz val="22"/>
    </font>
    <font>
      <name val="Calibri"/>
      <b val="1"/>
      <color rgb="009C0006"/>
      <sz val="22"/>
    </font>
    <font>
      <name val="Calibri"/>
      <b val="1"/>
      <color rgb="00C55A11"/>
      <sz val="22"/>
    </font>
    <font>
      <name val="Calibri"/>
      <b val="1"/>
      <color rgb="001F3864"/>
      <sz val="11"/>
    </font>
    <font>
      <name val="Calibri"/>
      <b val="1"/>
      <color rgb="001F3864"/>
      <sz val="14"/>
    </font>
    <font>
      <name val="Calibri"/>
      <color rgb="00808080"/>
      <sz val="10"/>
    </font>
    <font>
      <name val="Calibri"/>
      <color rgb="00000000"/>
      <sz val="10"/>
    </font>
    <font>
      <name val="Calibri"/>
      <b val="1"/>
      <color rgb="002E5496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9C0006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3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name val="Calibri"/>
        <b val="1"/>
        <color rgb="009C0006"/>
        <sz val="10"/>
      </font>
      <fill>
        <patternFill patternType="solid">
          <fgColor rgb="00FFC7CE"/>
        </patternFill>
      </fill>
    </dxf>
    <dxf>
      <font>
        <name val="Calibri"/>
        <b val="1"/>
        <color rgb="00006100"/>
        <sz val="1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STEP 1 — UPDATE: Daily units sold (scheduled export first; approved connector later)</t>
        </is>
      </c>
    </row>
    <row r="2">
      <c r="A2" s="2" t="inlineStr">
        <is>
          <t>ILLUSTRATIVE 28-day history. Case-based product speeds are used as the baseline; this is not live PopCart data.</t>
        </is>
      </c>
    </row>
    <row r="3">
      <c r="A3" s="3" t="inlineStr">
        <is>
          <t>Date</t>
        </is>
      </c>
      <c r="B3" s="3" t="inlineStr">
        <is>
          <t>Freeze-Dried Candy Mix</t>
        </is>
      </c>
      <c r="C3" s="3" t="inlineStr">
        <is>
          <t>Spicy Korean Ramen Bundles</t>
        </is>
      </c>
      <c r="D3" s="3" t="inlineStr">
        <is>
          <t>Giant Bubble Gum Tubs</t>
        </is>
      </c>
      <c r="E3" s="3" t="inlineStr">
        <is>
          <t>Assorted Chocolate Crunch Bars</t>
        </is>
      </c>
      <c r="F3" s="3" t="inlineStr">
        <is>
          <t>Sour Belts &amp; Bulk Packs</t>
        </is>
      </c>
    </row>
    <row r="4">
      <c r="A4" s="4" t="inlineStr">
        <is>
          <t>May 25</t>
        </is>
      </c>
      <c r="B4" s="5" t="n">
        <v>310</v>
      </c>
      <c r="C4" s="5" t="n">
        <v>260</v>
      </c>
      <c r="D4" s="5" t="n">
        <v>166</v>
      </c>
      <c r="E4" s="5" t="n">
        <v>156</v>
      </c>
      <c r="F4" s="5" t="n">
        <v>120</v>
      </c>
    </row>
    <row r="5">
      <c r="A5" s="4" t="inlineStr">
        <is>
          <t>May 26</t>
        </is>
      </c>
      <c r="B5" s="5" t="n">
        <v>266</v>
      </c>
      <c r="C5" s="5" t="n">
        <v>246</v>
      </c>
      <c r="D5" s="5" t="n">
        <v>190</v>
      </c>
      <c r="E5" s="5" t="n">
        <v>149</v>
      </c>
      <c r="F5" s="5" t="n">
        <v>111</v>
      </c>
    </row>
    <row r="6">
      <c r="A6" s="4" t="inlineStr">
        <is>
          <t>May 27</t>
        </is>
      </c>
      <c r="B6" s="5" t="n">
        <v>284</v>
      </c>
      <c r="C6" s="5" t="n">
        <v>258</v>
      </c>
      <c r="D6" s="5" t="n">
        <v>165</v>
      </c>
      <c r="E6" s="5" t="n">
        <v>179</v>
      </c>
      <c r="F6" s="5" t="n">
        <v>132</v>
      </c>
    </row>
    <row r="7">
      <c r="A7" s="4" t="inlineStr">
        <is>
          <t>May 28</t>
        </is>
      </c>
      <c r="B7" s="5" t="n">
        <v>280</v>
      </c>
      <c r="C7" s="5" t="n">
        <v>253</v>
      </c>
      <c r="D7" s="5" t="n">
        <v>175</v>
      </c>
      <c r="E7" s="5" t="n">
        <v>160</v>
      </c>
      <c r="F7" s="5" t="n">
        <v>131</v>
      </c>
    </row>
    <row r="8">
      <c r="A8" s="4" t="inlineStr">
        <is>
          <t>May 29</t>
        </is>
      </c>
      <c r="B8" s="5" t="n">
        <v>317</v>
      </c>
      <c r="C8" s="5" t="n">
        <v>242</v>
      </c>
      <c r="D8" s="5" t="n">
        <v>201</v>
      </c>
      <c r="E8" s="5" t="n">
        <v>144</v>
      </c>
      <c r="F8" s="5" t="n">
        <v>114</v>
      </c>
    </row>
    <row r="9">
      <c r="A9" s="4" t="inlineStr">
        <is>
          <t>May 30</t>
        </is>
      </c>
      <c r="B9" s="5" t="n">
        <v>313</v>
      </c>
      <c r="C9" s="5" t="n">
        <v>267</v>
      </c>
      <c r="D9" s="5" t="n">
        <v>186</v>
      </c>
      <c r="E9" s="5" t="n">
        <v>143</v>
      </c>
      <c r="F9" s="5" t="n">
        <v>124</v>
      </c>
    </row>
    <row r="10">
      <c r="A10" s="4" t="inlineStr">
        <is>
          <t>May 31</t>
        </is>
      </c>
      <c r="B10" s="5" t="n">
        <v>328</v>
      </c>
      <c r="C10" s="5" t="n">
        <v>233</v>
      </c>
      <c r="D10" s="5" t="n">
        <v>182</v>
      </c>
      <c r="E10" s="5" t="n">
        <v>145</v>
      </c>
      <c r="F10" s="5" t="n">
        <v>123</v>
      </c>
    </row>
    <row r="11">
      <c r="A11" s="4" t="inlineStr">
        <is>
          <t>Jun 01</t>
        </is>
      </c>
      <c r="B11" s="5" t="n">
        <v>270</v>
      </c>
      <c r="C11" s="5" t="n">
        <v>243</v>
      </c>
      <c r="D11" s="5" t="n">
        <v>188</v>
      </c>
      <c r="E11" s="5" t="n">
        <v>165</v>
      </c>
      <c r="F11" s="5" t="n">
        <v>110</v>
      </c>
    </row>
    <row r="12">
      <c r="A12" s="4" t="inlineStr">
        <is>
          <t>Jun 02</t>
        </is>
      </c>
      <c r="B12" s="5" t="n">
        <v>294</v>
      </c>
      <c r="C12" s="5" t="n">
        <v>259</v>
      </c>
      <c r="D12" s="5" t="n">
        <v>195</v>
      </c>
      <c r="E12" s="5" t="n">
        <v>171</v>
      </c>
      <c r="F12" s="5" t="n">
        <v>128</v>
      </c>
    </row>
    <row r="13">
      <c r="A13" s="4" t="inlineStr">
        <is>
          <t>Jun 03</t>
        </is>
      </c>
      <c r="B13" s="5" t="n">
        <v>266</v>
      </c>
      <c r="C13" s="5" t="n">
        <v>247</v>
      </c>
      <c r="D13" s="5" t="n">
        <v>192</v>
      </c>
      <c r="E13" s="5" t="n">
        <v>157</v>
      </c>
      <c r="F13" s="5" t="n">
        <v>121</v>
      </c>
    </row>
    <row r="14">
      <c r="A14" s="4" t="inlineStr">
        <is>
          <t>Jun 04</t>
        </is>
      </c>
      <c r="B14" s="5" t="n">
        <v>280</v>
      </c>
      <c r="C14" s="5" t="n">
        <v>261</v>
      </c>
      <c r="D14" s="5" t="n">
        <v>168</v>
      </c>
      <c r="E14" s="5" t="n">
        <v>143</v>
      </c>
      <c r="F14" s="5" t="n">
        <v>128</v>
      </c>
    </row>
    <row r="15">
      <c r="A15" s="4" t="inlineStr">
        <is>
          <t>Jun 05</t>
        </is>
      </c>
      <c r="B15" s="5" t="n">
        <v>300</v>
      </c>
      <c r="C15" s="5" t="n">
        <v>244</v>
      </c>
      <c r="D15" s="5" t="n">
        <v>160</v>
      </c>
      <c r="E15" s="5" t="n">
        <v>155</v>
      </c>
      <c r="F15" s="5" t="n">
        <v>121</v>
      </c>
    </row>
    <row r="16">
      <c r="A16" s="4" t="inlineStr">
        <is>
          <t>Jun 06</t>
        </is>
      </c>
      <c r="B16" s="5" t="n">
        <v>266</v>
      </c>
      <c r="C16" s="5" t="n">
        <v>252</v>
      </c>
      <c r="D16" s="5" t="n">
        <v>172</v>
      </c>
      <c r="E16" s="5" t="n">
        <v>179</v>
      </c>
      <c r="F16" s="5" t="n">
        <v>106</v>
      </c>
    </row>
    <row r="17">
      <c r="A17" s="4" t="inlineStr">
        <is>
          <t>Jun 07</t>
        </is>
      </c>
      <c r="B17" s="5" t="n">
        <v>278</v>
      </c>
      <c r="C17" s="5" t="n">
        <v>214</v>
      </c>
      <c r="D17" s="5" t="n">
        <v>170</v>
      </c>
      <c r="E17" s="5" t="n">
        <v>161</v>
      </c>
      <c r="F17" s="5" t="n">
        <v>115</v>
      </c>
    </row>
    <row r="18">
      <c r="A18" s="4" t="inlineStr">
        <is>
          <t>Jun 08</t>
        </is>
      </c>
      <c r="B18" s="5" t="n">
        <v>311</v>
      </c>
      <c r="C18" s="5" t="n">
        <v>224</v>
      </c>
      <c r="D18" s="5" t="n">
        <v>168</v>
      </c>
      <c r="E18" s="5" t="n">
        <v>178</v>
      </c>
      <c r="F18" s="5" t="n">
        <v>106</v>
      </c>
    </row>
    <row r="19">
      <c r="A19" s="4" t="inlineStr">
        <is>
          <t>Jun 09</t>
        </is>
      </c>
      <c r="B19" s="5" t="n">
        <v>303</v>
      </c>
      <c r="C19" s="5" t="n">
        <v>228</v>
      </c>
      <c r="D19" s="5" t="n">
        <v>199</v>
      </c>
      <c r="E19" s="5" t="n">
        <v>174</v>
      </c>
      <c r="F19" s="5" t="n">
        <v>132</v>
      </c>
    </row>
    <row r="20">
      <c r="A20" s="4" t="inlineStr">
        <is>
          <t>Jun 10</t>
        </is>
      </c>
      <c r="B20" s="5" t="n">
        <v>280</v>
      </c>
      <c r="C20" s="5" t="n">
        <v>216</v>
      </c>
      <c r="D20" s="5" t="n">
        <v>196</v>
      </c>
      <c r="E20" s="5" t="n">
        <v>141</v>
      </c>
      <c r="F20" s="5" t="n">
        <v>131</v>
      </c>
    </row>
    <row r="21">
      <c r="A21" s="4" t="inlineStr">
        <is>
          <t>Jun 11</t>
        </is>
      </c>
      <c r="B21" s="5" t="n">
        <v>306</v>
      </c>
      <c r="C21" s="5" t="n">
        <v>225</v>
      </c>
      <c r="D21" s="5" t="n">
        <v>172</v>
      </c>
      <c r="E21" s="5" t="n">
        <v>168</v>
      </c>
      <c r="F21" s="5" t="n">
        <v>130</v>
      </c>
    </row>
    <row r="22">
      <c r="A22" s="4" t="inlineStr">
        <is>
          <t>Jun 12</t>
        </is>
      </c>
      <c r="B22" s="5" t="n">
        <v>322</v>
      </c>
      <c r="C22" s="5" t="n">
        <v>217</v>
      </c>
      <c r="D22" s="5" t="n">
        <v>187</v>
      </c>
      <c r="E22" s="5" t="n">
        <v>167</v>
      </c>
      <c r="F22" s="5" t="n">
        <v>114</v>
      </c>
    </row>
    <row r="23">
      <c r="A23" s="4" t="inlineStr">
        <is>
          <t>Jun 13</t>
        </is>
      </c>
      <c r="B23" s="5" t="n">
        <v>264</v>
      </c>
      <c r="C23" s="5" t="n">
        <v>227</v>
      </c>
      <c r="D23" s="5" t="n">
        <v>175</v>
      </c>
      <c r="E23" s="5" t="n">
        <v>161</v>
      </c>
      <c r="F23" s="5" t="n">
        <v>107</v>
      </c>
    </row>
    <row r="24">
      <c r="A24" s="4" t="inlineStr">
        <is>
          <t>Jun 14</t>
        </is>
      </c>
      <c r="B24" s="5" t="n">
        <v>336</v>
      </c>
      <c r="C24" s="5" t="n">
        <v>248</v>
      </c>
      <c r="D24" s="5" t="n">
        <v>193</v>
      </c>
      <c r="E24" s="5" t="n">
        <v>153</v>
      </c>
      <c r="F24" s="5" t="n">
        <v>131</v>
      </c>
    </row>
    <row r="25">
      <c r="A25" s="4" t="inlineStr">
        <is>
          <t>Jun 15</t>
        </is>
      </c>
      <c r="B25" s="6" t="n">
        <v>342</v>
      </c>
      <c r="C25" s="6" t="n">
        <v>232</v>
      </c>
      <c r="D25" s="6" t="n">
        <v>169</v>
      </c>
      <c r="E25" s="6" t="n">
        <v>170</v>
      </c>
      <c r="F25" s="6" t="n">
        <v>133</v>
      </c>
    </row>
    <row r="26">
      <c r="A26" s="4" t="inlineStr">
        <is>
          <t>Jun 16</t>
        </is>
      </c>
      <c r="B26" s="6" t="n">
        <v>326</v>
      </c>
      <c r="C26" s="6" t="n">
        <v>233</v>
      </c>
      <c r="D26" s="6" t="n">
        <v>157</v>
      </c>
      <c r="E26" s="6" t="n">
        <v>152</v>
      </c>
      <c r="F26" s="6" t="n">
        <v>108</v>
      </c>
    </row>
    <row r="27">
      <c r="A27" s="4" t="inlineStr">
        <is>
          <t>Jun 17</t>
        </is>
      </c>
      <c r="B27" s="6" t="n">
        <v>323</v>
      </c>
      <c r="C27" s="6" t="n">
        <v>223</v>
      </c>
      <c r="D27" s="6" t="n">
        <v>152</v>
      </c>
      <c r="E27" s="6" t="n">
        <v>167</v>
      </c>
      <c r="F27" s="6" t="n">
        <v>120</v>
      </c>
    </row>
    <row r="28">
      <c r="A28" s="4" t="inlineStr">
        <is>
          <t>Jun 18</t>
        </is>
      </c>
      <c r="B28" s="6" t="n">
        <v>406</v>
      </c>
      <c r="C28" s="6" t="n">
        <v>227</v>
      </c>
      <c r="D28" s="6" t="n">
        <v>160</v>
      </c>
      <c r="E28" s="6" t="n">
        <v>170</v>
      </c>
      <c r="F28" s="6" t="n">
        <v>108</v>
      </c>
    </row>
    <row r="29">
      <c r="A29" s="4" t="inlineStr">
        <is>
          <t>Jun 19</t>
        </is>
      </c>
      <c r="B29" s="6" t="n">
        <v>364</v>
      </c>
      <c r="C29" s="6" t="n">
        <v>265</v>
      </c>
      <c r="D29" s="6" t="n">
        <v>144</v>
      </c>
      <c r="E29" s="6" t="n">
        <v>193</v>
      </c>
      <c r="F29" s="6" t="n">
        <v>128</v>
      </c>
    </row>
    <row r="30">
      <c r="A30" s="4" t="inlineStr">
        <is>
          <t>Jun 20</t>
        </is>
      </c>
      <c r="B30" s="6" t="n">
        <v>354</v>
      </c>
      <c r="C30" s="6" t="n">
        <v>249</v>
      </c>
      <c r="D30" s="6" t="n">
        <v>152</v>
      </c>
      <c r="E30" s="6" t="n">
        <v>193</v>
      </c>
      <c r="F30" s="6" t="n">
        <v>128</v>
      </c>
    </row>
    <row r="31">
      <c r="A31" s="7" t="inlineStr">
        <is>
          <t>Jun 21 (today)</t>
        </is>
      </c>
      <c r="B31" s="6" t="n">
        <v>366</v>
      </c>
      <c r="C31" s="6" t="n">
        <v>246</v>
      </c>
      <c r="D31" s="6" t="n">
        <v>158</v>
      </c>
      <c r="E31" s="6" t="n">
        <v>169</v>
      </c>
      <c r="F31" s="6" t="n">
        <v>109</v>
      </c>
    </row>
  </sheetData>
  <mergeCells count="2">
    <mergeCell ref="A2:F2"/>
    <mergeCell ref="A1:F1"/>
  </mergeCells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7" customWidth="1" min="9" max="9"/>
    <col width="9" customWidth="1" min="10" max="10"/>
    <col width="8" customWidth="1" min="11" max="11"/>
    <col width="9" customWidth="1" min="12" max="12"/>
    <col width="16" customWidth="1" min="13" max="13"/>
    <col width="11" customWidth="1" min="14" max="14"/>
    <col width="7" customWidth="1" min="15" max="15"/>
    <col width="11" customWidth="1" min="16" max="16"/>
  </cols>
  <sheetData>
    <row r="1">
      <c r="A1" s="1" t="inlineStr">
        <is>
          <t>STEP 2 — REORDER CONTROL PANEL  ·  "the fuel light for every SKU"</t>
        </is>
      </c>
    </row>
    <row r="2">
      <c r="A2" s="2" t="inlineStr">
        <is>
          <t>Reorder Point = forecast daily demand × lead time + safety stock. Status flags 🔴 when stock on hand falls to/below it. System recommends; founder decides.</t>
        </is>
      </c>
    </row>
    <row r="3" ht="30" customHeight="1">
      <c r="A3" s="8" t="inlineStr">
        <is>
          <t>SKU</t>
        </is>
      </c>
      <c r="B3" s="8" t="inlineStr">
        <is>
          <t>Price ₱</t>
        </is>
      </c>
      <c r="C3" s="8" t="inlineStr">
        <is>
          <t>Lead
(days)</t>
        </is>
      </c>
      <c r="D3" s="8" t="inlineStr">
        <is>
          <t>Stock
on hand</t>
        </is>
      </c>
      <c r="E3" s="8" t="inlineStr">
        <is>
          <t>Avg/day
(7d)</t>
        </is>
      </c>
      <c r="F3" s="8" t="inlineStr">
        <is>
          <t>Avg/day
(14d)</t>
        </is>
      </c>
      <c r="G3" s="8" t="inlineStr">
        <is>
          <t>Avg/day
(28d)</t>
        </is>
      </c>
      <c r="H3" s="8" t="inlineStr">
        <is>
          <t>TikTok
idx (0-100)</t>
        </is>
      </c>
      <c r="I3" s="8" t="inlineStr">
        <is>
          <t>Viral
×</t>
        </is>
      </c>
      <c r="J3" s="8" t="inlineStr">
        <is>
          <t>Forecast
/day</t>
        </is>
      </c>
      <c r="K3" s="8" t="inlineStr">
        <is>
          <t>Safety
stock</t>
        </is>
      </c>
      <c r="L3" s="8" t="inlineStr">
        <is>
          <t>Reorder
point</t>
        </is>
      </c>
      <c r="M3" s="8" t="inlineStr">
        <is>
          <t>STATUS</t>
        </is>
      </c>
      <c r="N3" s="8" t="inlineStr">
        <is>
          <t>Suggested
order qty</t>
        </is>
      </c>
      <c r="O3" s="8" t="inlineStr">
        <is>
          <t>Days
cover</t>
        </is>
      </c>
      <c r="P3" s="8" t="inlineStr">
        <is>
          <t>₱ contribution
if OOS/day</t>
        </is>
      </c>
    </row>
    <row r="4">
      <c r="A4" s="9" t="inlineStr">
        <is>
          <t>Freeze-Dried Candy Mix</t>
        </is>
      </c>
      <c r="B4" s="10" t="n">
        <v>180</v>
      </c>
      <c r="C4" s="4" t="n">
        <v>14</v>
      </c>
      <c r="D4" s="4" t="n">
        <v>2500</v>
      </c>
      <c r="E4" s="4">
        <f>ROUND(AVERAGE(Daily_Sales!B25:B31),0)</f>
        <v/>
      </c>
      <c r="F4" s="4">
        <f>ROUND(AVERAGE(Daily_Sales!B18:B31),0)</f>
        <v/>
      </c>
      <c r="G4" s="4">
        <f>ROUND(AVERAGE(Daily_Sales!B4:B31),0)</f>
        <v/>
      </c>
      <c r="H4" s="4" t="n">
        <v>88</v>
      </c>
      <c r="I4" s="11">
        <f>1+MIN(0.4,MAX(0,(H4-60)/100))</f>
        <v/>
      </c>
      <c r="J4" s="4">
        <f>ROUND((0.5*E4+0.3*F4+0.2*G4)*I4,0)</f>
        <v/>
      </c>
      <c r="K4" s="4">
        <f>ROUND(1.65*STDEV(Daily_Sales!B4:B31)*SQRT(C4),0)</f>
        <v/>
      </c>
      <c r="L4" s="4">
        <f>ROUND(J4*C4+K4,0)</f>
        <v/>
      </c>
      <c r="M4" s="7">
        <f>IF(D4&lt;=L4,"🔴 REORDER NOW","🟢 OK")</f>
        <v/>
      </c>
      <c r="N4" s="4">
        <f>IF(D4&lt;=L4,ROUNDUP(J4*(C4+14)+K4-D4,0),0)</f>
        <v/>
      </c>
      <c r="O4" s="12">
        <f>ROUND(D4/J4,1)</f>
        <v/>
      </c>
      <c r="P4" s="13">
        <f>ROUND(J4*B4*0.3,0)</f>
        <v/>
      </c>
    </row>
    <row r="5">
      <c r="A5" s="9" t="inlineStr">
        <is>
          <t>Spicy Korean Ramen Bundles</t>
        </is>
      </c>
      <c r="B5" s="10" t="n">
        <v>320</v>
      </c>
      <c r="C5" s="4" t="n">
        <v>30</v>
      </c>
      <c r="D5" s="4" t="n">
        <v>5000</v>
      </c>
      <c r="E5" s="4">
        <f>ROUND(AVERAGE(Daily_Sales!C25:C31),0)</f>
        <v/>
      </c>
      <c r="F5" s="4">
        <f>ROUND(AVERAGE(Daily_Sales!C18:C31),0)</f>
        <v/>
      </c>
      <c r="G5" s="4">
        <f>ROUND(AVERAGE(Daily_Sales!C4:C31),0)</f>
        <v/>
      </c>
      <c r="H5" s="4" t="n">
        <v>64</v>
      </c>
      <c r="I5" s="11">
        <f>1+MIN(0.4,MAX(0,(H5-60)/100))</f>
        <v/>
      </c>
      <c r="J5" s="4">
        <f>ROUND((0.5*E5+0.3*F5+0.2*G5)*I5,0)</f>
        <v/>
      </c>
      <c r="K5" s="4">
        <f>ROUND(1.65*STDEV(Daily_Sales!C4:C31)*SQRT(C5),0)</f>
        <v/>
      </c>
      <c r="L5" s="4">
        <f>ROUND(J5*C5+K5,0)</f>
        <v/>
      </c>
      <c r="M5" s="7">
        <f>IF(D5&lt;=L5,"🔴 REORDER NOW","🟢 OK")</f>
        <v/>
      </c>
      <c r="N5" s="4">
        <f>IF(D5&lt;=L5,ROUNDUP(J5*(C5+14)+K5-D5,0),0)</f>
        <v/>
      </c>
      <c r="O5" s="12">
        <f>ROUND(D5/J5,1)</f>
        <v/>
      </c>
      <c r="P5" s="13">
        <f>ROUND(J5*B5*0.3,0)</f>
        <v/>
      </c>
    </row>
    <row r="6">
      <c r="A6" s="9" t="inlineStr">
        <is>
          <t>Giant Bubble Gum Tubs</t>
        </is>
      </c>
      <c r="B6" s="10" t="n">
        <v>220</v>
      </c>
      <c r="C6" s="4" t="n">
        <v>7</v>
      </c>
      <c r="D6" s="4" t="n">
        <v>3200</v>
      </c>
      <c r="E6" s="4">
        <f>ROUND(AVERAGE(Daily_Sales!D25:D31),0)</f>
        <v/>
      </c>
      <c r="F6" s="4">
        <f>ROUND(AVERAGE(Daily_Sales!D18:D31),0)</f>
        <v/>
      </c>
      <c r="G6" s="4">
        <f>ROUND(AVERAGE(Daily_Sales!D4:D31),0)</f>
        <v/>
      </c>
      <c r="H6" s="4" t="n">
        <v>45</v>
      </c>
      <c r="I6" s="11">
        <f>1+MIN(0.4,MAX(0,(H6-60)/100))</f>
        <v/>
      </c>
      <c r="J6" s="4">
        <f>ROUND((0.5*E6+0.3*F6+0.2*G6)*I6,0)</f>
        <v/>
      </c>
      <c r="K6" s="4">
        <f>ROUND(1.65*STDEV(Daily_Sales!D4:D31)*SQRT(C6),0)</f>
        <v/>
      </c>
      <c r="L6" s="4">
        <f>ROUND(J6*C6+K6,0)</f>
        <v/>
      </c>
      <c r="M6" s="7">
        <f>IF(D6&lt;=L6,"🔴 REORDER NOW","🟢 OK")</f>
        <v/>
      </c>
      <c r="N6" s="4">
        <f>IF(D6&lt;=L6,ROUNDUP(J6*(C6+14)+K6-D6,0),0)</f>
        <v/>
      </c>
      <c r="O6" s="12">
        <f>ROUND(D6/J6,1)</f>
        <v/>
      </c>
      <c r="P6" s="13">
        <f>ROUND(J6*B6*0.3,0)</f>
        <v/>
      </c>
    </row>
    <row r="7">
      <c r="A7" s="9" t="inlineStr">
        <is>
          <t>Assorted Chocolate Crunch Bars</t>
        </is>
      </c>
      <c r="B7" s="10" t="n">
        <v>150</v>
      </c>
      <c r="C7" s="4" t="n">
        <v>21</v>
      </c>
      <c r="D7" s="4" t="n">
        <v>3000</v>
      </c>
      <c r="E7" s="4">
        <f>ROUND(AVERAGE(Daily_Sales!E25:E31),0)</f>
        <v/>
      </c>
      <c r="F7" s="4">
        <f>ROUND(AVERAGE(Daily_Sales!E18:E31),0)</f>
        <v/>
      </c>
      <c r="G7" s="4">
        <f>ROUND(AVERAGE(Daily_Sales!E4:E31),0)</f>
        <v/>
      </c>
      <c r="H7" s="4" t="n">
        <v>70</v>
      </c>
      <c r="I7" s="11">
        <f>1+MIN(0.4,MAX(0,(H7-60)/100))</f>
        <v/>
      </c>
      <c r="J7" s="4">
        <f>ROUND((0.5*E7+0.3*F7+0.2*G7)*I7,0)</f>
        <v/>
      </c>
      <c r="K7" s="4">
        <f>ROUND(1.65*STDEV(Daily_Sales!E4:E31)*SQRT(C7),0)</f>
        <v/>
      </c>
      <c r="L7" s="4">
        <f>ROUND(J7*C7+K7,0)</f>
        <v/>
      </c>
      <c r="M7" s="7">
        <f>IF(D7&lt;=L7,"🔴 REORDER NOW","🟢 OK")</f>
        <v/>
      </c>
      <c r="N7" s="4">
        <f>IF(D7&lt;=L7,ROUNDUP(J7*(C7+14)+K7-D7,0),0)</f>
        <v/>
      </c>
      <c r="O7" s="12">
        <f>ROUND(D7/J7,1)</f>
        <v/>
      </c>
      <c r="P7" s="13">
        <f>ROUND(J7*B7*0.3,0)</f>
        <v/>
      </c>
    </row>
    <row r="8">
      <c r="A8" s="9" t="inlineStr">
        <is>
          <t>Sour Belts &amp; Bulk Packs</t>
        </is>
      </c>
      <c r="B8" s="10" t="n">
        <v>120</v>
      </c>
      <c r="C8" s="4" t="n">
        <v>7</v>
      </c>
      <c r="D8" s="4" t="n">
        <v>2600</v>
      </c>
      <c r="E8" s="4">
        <f>ROUND(AVERAGE(Daily_Sales!F25:F31),0)</f>
        <v/>
      </c>
      <c r="F8" s="4">
        <f>ROUND(AVERAGE(Daily_Sales!F18:F31),0)</f>
        <v/>
      </c>
      <c r="G8" s="4">
        <f>ROUND(AVERAGE(Daily_Sales!F4:F31),0)</f>
        <v/>
      </c>
      <c r="H8" s="4" t="n">
        <v>50</v>
      </c>
      <c r="I8" s="11">
        <f>1+MIN(0.4,MAX(0,(H8-60)/100))</f>
        <v/>
      </c>
      <c r="J8" s="4">
        <f>ROUND((0.5*E8+0.3*F8+0.2*G8)*I8,0)</f>
        <v/>
      </c>
      <c r="K8" s="4">
        <f>ROUND(1.65*STDEV(Daily_Sales!F4:F31)*SQRT(C8),0)</f>
        <v/>
      </c>
      <c r="L8" s="4">
        <f>ROUND(J8*C8+K8,0)</f>
        <v/>
      </c>
      <c r="M8" s="7">
        <f>IF(D8&lt;=L8,"🔴 REORDER NOW","🟢 OK")</f>
        <v/>
      </c>
      <c r="N8" s="4">
        <f>IF(D8&lt;=L8,ROUNDUP(J8*(C8+14)+K8-D8,0),0)</f>
        <v/>
      </c>
      <c r="O8" s="12">
        <f>ROUND(D8/J8,1)</f>
        <v/>
      </c>
      <c r="P8" s="13">
        <f>ROUND(J8*B8*0.3,0)</f>
        <v/>
      </c>
    </row>
    <row r="11">
      <c r="A11" s="14" t="inlineStr">
        <is>
          <t>How to read this panel:</t>
        </is>
      </c>
    </row>
    <row r="12">
      <c r="A12" s="15" t="inlineStr">
        <is>
          <t>• Forecast/day = weighted recency (50% of 7-day, 30% of 14-day, 20% of 28-day) × viral multiplier.</t>
        </is>
      </c>
    </row>
    <row r="13">
      <c r="A13" s="15" t="inlineStr">
        <is>
          <t>• Viral × rises with the TikTok engagement index (leading signal) — pre-empts a spike before sales fully show it.</t>
        </is>
      </c>
    </row>
    <row r="14">
      <c r="A14" s="15" t="inlineStr">
        <is>
          <t>• Safety stock = 1.65 × demand volatility (st-dev) × √lead time  →  ~95% service level; bigger when sales are choppy or lead times long.</t>
        </is>
      </c>
    </row>
    <row r="15">
      <c r="A15" s="15" t="inlineStr">
        <is>
          <t>• Reorder point (the fuel light) = forecast/day × lead time + safety stock. Order BEFORE stock hits it, because restock takes the lead time to arrive.</t>
        </is>
      </c>
    </row>
    <row r="16">
      <c r="A16" s="15" t="inlineStr">
        <is>
          <t>• ₱ contribution if OOS/day = forecast/day × price × 30% — an illustrative exposure if the item becomes unavailable, not a claim of today's actual loss.</t>
        </is>
      </c>
    </row>
  </sheetData>
  <mergeCells count="7">
    <mergeCell ref="A13:P13"/>
    <mergeCell ref="A14:P14"/>
    <mergeCell ref="A1:P1"/>
    <mergeCell ref="A12:P12"/>
    <mergeCell ref="A16:P16"/>
    <mergeCell ref="A15:P15"/>
    <mergeCell ref="A2:P2"/>
  </mergeCells>
  <conditionalFormatting sqref="M4:M8">
    <cfRule type="expression" priority="1" dxfId="0">
      <formula>ISNUMBER(SEARCH("REORDER",M4))</formula>
    </cfRule>
    <cfRule type="expression" priority="2" dxfId="1">
      <formula>ISNUMBER(SEARCH("OK",M4))</formula>
    </cfRule>
  </conditionalFormatting>
  <pageMargins left="0.3" right="0.3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15" customWidth="1" min="4" max="4"/>
    <col width="12" customWidth="1" min="5" max="5"/>
    <col width="12" customWidth="1" min="6" max="6"/>
  </cols>
  <sheetData>
    <row r="1">
      <c r="A1" s="16" t="inlineStr">
        <is>
          <t>PopCart — Morning Control Dashboard</t>
        </is>
      </c>
    </row>
    <row r="2">
      <c r="A2" s="2" t="inlineStr">
        <is>
          <t>Prototype using case baselines + illustrative operating data. All figures live-linked to the Control Panel.</t>
        </is>
      </c>
    </row>
    <row r="4">
      <c r="A4" s="17" t="inlineStr">
        <is>
          <t>SKUs to reorder TODAY</t>
        </is>
      </c>
      <c r="B4" s="18" t="n"/>
      <c r="C4" s="19" t="inlineStr">
        <is>
          <t>₱ contribution exposed if OOS/day</t>
        </is>
      </c>
      <c r="D4" s="18" t="n"/>
      <c r="E4" s="20" t="inlineStr">
        <is>
          <t>Viral items rising 🔥</t>
        </is>
      </c>
      <c r="F4" s="18" t="n"/>
    </row>
    <row r="5">
      <c r="A5" s="21">
        <f>COUNTIF(Control_Panel!M4:M8,"*REORDER*")</f>
        <v/>
      </c>
      <c r="B5" s="18" t="n"/>
      <c r="C5" s="22">
        <f>SUMIF(Control_Panel!M4:M8,"*REORDER*",Control_Panel!P4:P8)</f>
        <v/>
      </c>
      <c r="D5" s="18" t="n"/>
      <c r="E5" s="23">
        <f>COUNTIF(Control_Panel!I4:I8,"&gt;1.1")</f>
        <v/>
      </c>
      <c r="F5" s="18" t="n"/>
    </row>
    <row r="6">
      <c r="A6" s="18" t="n"/>
      <c r="B6" s="18" t="n"/>
      <c r="C6" s="18" t="n"/>
      <c r="D6" s="18" t="n"/>
      <c r="E6" s="18" t="n"/>
      <c r="F6" s="18" t="n"/>
    </row>
    <row r="8">
      <c r="A8" s="24" t="inlineStr">
        <is>
          <t>TODAY'S ACTION LIST  (system recommends — founder approves)</t>
        </is>
      </c>
    </row>
    <row r="9">
      <c r="A9" s="3" t="inlineStr">
        <is>
          <t>SKU</t>
        </is>
      </c>
      <c r="B9" s="3" t="inlineStr">
        <is>
          <t>Status</t>
        </is>
      </c>
      <c r="C9" s="3" t="inlineStr">
        <is>
          <t>Suggested order qty</t>
        </is>
      </c>
      <c r="D9" s="3" t="inlineStr">
        <is>
          <t>Days cover left</t>
        </is>
      </c>
      <c r="E9" s="3" t="inlineStr">
        <is>
          <t>₱ if OOS/day</t>
        </is>
      </c>
      <c r="F9" s="3" t="inlineStr">
        <is>
          <t>Trend</t>
        </is>
      </c>
    </row>
    <row r="10">
      <c r="A10" s="9">
        <f>Control_Panel!A4</f>
        <v/>
      </c>
      <c r="B10" s="4">
        <f>Control_Panel!M4</f>
        <v/>
      </c>
      <c r="C10" s="4">
        <f>Control_Panel!N4</f>
        <v/>
      </c>
      <c r="D10" s="4">
        <f>Control_Panel!O4</f>
        <v/>
      </c>
      <c r="E10" s="10">
        <f>Control_Panel!P4</f>
        <v/>
      </c>
      <c r="F10" s="4">
        <f>IF(Control_Panel!I4&gt;1.1,"🔥 rising","steady")</f>
        <v/>
      </c>
    </row>
    <row r="11">
      <c r="A11" s="9">
        <f>Control_Panel!A5</f>
        <v/>
      </c>
      <c r="B11" s="4">
        <f>Control_Panel!M5</f>
        <v/>
      </c>
      <c r="C11" s="4">
        <f>Control_Panel!N5</f>
        <v/>
      </c>
      <c r="D11" s="4">
        <f>Control_Panel!O5</f>
        <v/>
      </c>
      <c r="E11" s="10">
        <f>Control_Panel!P5</f>
        <v/>
      </c>
      <c r="F11" s="4">
        <f>IF(Control_Panel!I5&gt;1.1,"🔥 rising","steady")</f>
        <v/>
      </c>
    </row>
    <row r="12">
      <c r="A12" s="9">
        <f>Control_Panel!A6</f>
        <v/>
      </c>
      <c r="B12" s="4">
        <f>Control_Panel!M6</f>
        <v/>
      </c>
      <c r="C12" s="4">
        <f>Control_Panel!N6</f>
        <v/>
      </c>
      <c r="D12" s="4">
        <f>Control_Panel!O6</f>
        <v/>
      </c>
      <c r="E12" s="10">
        <f>Control_Panel!P6</f>
        <v/>
      </c>
      <c r="F12" s="4">
        <f>IF(Control_Panel!I6&gt;1.1,"🔥 rising","steady")</f>
        <v/>
      </c>
    </row>
    <row r="13">
      <c r="A13" s="9">
        <f>Control_Panel!A7</f>
        <v/>
      </c>
      <c r="B13" s="4">
        <f>Control_Panel!M7</f>
        <v/>
      </c>
      <c r="C13" s="4">
        <f>Control_Panel!N7</f>
        <v/>
      </c>
      <c r="D13" s="4">
        <f>Control_Panel!O7</f>
        <v/>
      </c>
      <c r="E13" s="10">
        <f>Control_Panel!P7</f>
        <v/>
      </c>
      <c r="F13" s="4">
        <f>IF(Control_Panel!I7&gt;1.1,"🔥 rising","steady")</f>
        <v/>
      </c>
    </row>
    <row r="14">
      <c r="A14" s="9">
        <f>Control_Panel!A8</f>
        <v/>
      </c>
      <c r="B14" s="4">
        <f>Control_Panel!M8</f>
        <v/>
      </c>
      <c r="C14" s="4">
        <f>Control_Panel!N8</f>
        <v/>
      </c>
      <c r="D14" s="4">
        <f>Control_Panel!O8</f>
        <v/>
      </c>
      <c r="E14" s="10">
        <f>Control_Panel!P8</f>
        <v/>
      </c>
      <c r="F14" s="4">
        <f>IF(Control_Panel!I8&gt;1.1,"🔥 rising","steady")</f>
        <v/>
      </c>
    </row>
    <row r="16">
      <c r="A16" s="14" t="inlineStr">
        <is>
          <t>"Reorder before the shelf is empty — not after. The fuel light, for snacks."</t>
        </is>
      </c>
    </row>
  </sheetData>
  <mergeCells count="8">
    <mergeCell ref="A4:B4"/>
    <mergeCell ref="A2:F2"/>
    <mergeCell ref="E4:F4"/>
    <mergeCell ref="A1:F1"/>
    <mergeCell ref="C5:D6"/>
    <mergeCell ref="A5:B6"/>
    <mergeCell ref="E5:F6"/>
    <mergeCell ref="C4:D4"/>
  </mergeCells>
  <conditionalFormatting sqref="B10:B14">
    <cfRule type="expression" priority="1" dxfId="0">
      <formula>ISNUMBER(SEARCH("REORDER",B10))</formula>
    </cfRule>
    <cfRule type="expression" priority="2" dxfId="1">
      <formula>ISNUMBER(SEARCH("OK",B10))</formula>
    </cfRule>
  </conditionalFormatting>
  <pageMargins left="0.3" right="0.3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5" t="inlineStr">
        <is>
          <t>PopCart PH — Forecasting &amp; Reorder Control System (prototype)</t>
        </is>
      </c>
    </row>
    <row r="2">
      <c r="A2" s="26" t="inlineStr">
        <is>
          <t>Built for LAMBO 2026, Slide 9. A working demo of the proposed decision process — not PopCart's finished or live system.</t>
        </is>
      </c>
    </row>
    <row r="3">
      <c r="A3" s="27" t="inlineStr"/>
    </row>
    <row r="4">
      <c r="A4" s="28" t="inlineStr">
        <is>
          <t>THE 5-STEP WORKFLOW</t>
        </is>
      </c>
    </row>
    <row r="5">
      <c r="A5" s="27" t="inlineStr">
        <is>
          <t>1. UPDATE  — Start with scheduled exports into Excel/Power Query, 2–3×/day. Use an approved connector later if PopCart chooses.</t>
        </is>
      </c>
    </row>
    <row r="6">
      <c r="A6" s="26" t="inlineStr">
        <is>
          <t xml:space="preserve">           Replaces the manual twice-a-day Excel — like switching from checking your bank balance twice a day to online banking.</t>
        </is>
      </c>
    </row>
    <row r="7">
      <c r="A7" s="27" t="inlineStr">
        <is>
          <t>2. COMPARE — estimate recent demand, then compare days of stock with supplier delivery time.</t>
        </is>
      </c>
    </row>
    <row r="8">
      <c r="A8" s="27" t="inlineStr">
        <is>
          <t>3. WARN     — flag products that may run out before the next delivery can arrive.</t>
        </is>
      </c>
    </row>
    <row r="9">
      <c r="A9" s="27" t="inlineStr">
        <is>
          <t>4. DECIDE   — founder checks cash, supplier availability, and minimum order size before approving.</t>
        </is>
      </c>
    </row>
    <row r="10">
      <c r="A10" s="27" t="inlineStr">
        <is>
          <t>5. LEARN    — compare alerts with actual results weekly; add trend signals only after the basic data is reliable.</t>
        </is>
      </c>
    </row>
    <row r="11">
      <c r="A11" s="27" t="inlineStr"/>
    </row>
    <row r="12">
      <c r="A12" s="28" t="inlineStr">
        <is>
          <t>WHY IT FIXES THE PHP 7.35M LEAK</t>
        </is>
      </c>
    </row>
    <row r="13">
      <c r="A13" s="27" t="inlineStr">
        <is>
          <t>Today PopCart reorders on gut feel and only sees empty shelves AFTER they happen — fatal when restock takes 14–30 days.</t>
        </is>
      </c>
    </row>
    <row r="14">
      <c r="A14" s="26" t="inlineStr">
        <is>
          <t>The reorder point is the low-fuel light: it warns with enough road left to refill before the tank hits empty.</t>
        </is>
      </c>
    </row>
    <row r="15">
      <c r="A15" s="27" t="inlineStr">
        <is>
          <t>Note the long-lead items (ramen 30d, choco 21d) trigger earliest — exactly where blind reordering hurts most.</t>
        </is>
      </c>
    </row>
    <row r="16">
      <c r="A16" s="27" t="inlineStr"/>
    </row>
    <row r="17">
      <c r="A17" s="28" t="inlineStr">
        <is>
          <t>HONESTY / ASSUMPTIONS</t>
        </is>
      </c>
    </row>
    <row r="18">
      <c r="A18" s="27" t="inlineStr">
        <is>
          <t>• CASE-BASED: product velocity, price, and supplier lead time. ILLUSTRATIVE: daily history, current stock, and trend index.</t>
        </is>
      </c>
    </row>
    <row r="19">
      <c r="A19" s="27" t="inlineStr">
        <is>
          <t>• Profit-at-risk uses a conservative 30% CONTRIBUTION margin (recovered sales still pay platform fees + shipping), not 50% gross.</t>
        </is>
      </c>
    </row>
    <row r="20">
      <c r="A20" s="27" t="inlineStr">
        <is>
          <t>• Z=1.65 (~95% service level). Weights, safety days, and the viral cap are tunable weekly.</t>
        </is>
      </c>
    </row>
    <row r="21">
      <c r="A21" s="27" t="inlineStr"/>
    </row>
    <row r="22">
      <c r="A22" s="28" t="inlineStr">
        <is>
          <t>AI-USE DISCLOSURE</t>
        </is>
      </c>
    </row>
    <row r="23">
      <c r="A23" s="27" t="inlineStr">
        <is>
          <t>Proposed starting tools: Excel + Power Query + a barcode tool, building on PopCart's current Excel process. No custom app required.</t>
        </is>
      </c>
    </row>
    <row r="24">
      <c r="A24" s="27" t="inlineStr">
        <is>
          <t>This prototype's formulas + sample data were drafted with AI assistance and verified by the team against the case exhibits.</t>
        </is>
      </c>
    </row>
  </sheetData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2026-06-21T17:23:27Z</dcterms:created>
  <dcterms:modified xmlns:dcterms="http://purl.org/dc/terms/" xmlns:xsi="http://www.w3.org/2001/XMLSchema-instance" xsi:type="dcterms:W3CDTF">2026-06-21T17:23:27Z</dcterms:modified>
</cp:coreProperties>
</file>